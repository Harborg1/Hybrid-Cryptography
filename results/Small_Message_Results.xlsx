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har\Documents\GitHub\Hybrid-Cryptography\results\"/>
    </mc:Choice>
  </mc:AlternateContent>
  <xr:revisionPtr revIDLastSave="0" documentId="13_ncr:1_{641B2441-3054-4CFD-985D-056A9A9F1350}" xr6:coauthVersionLast="47" xr6:coauthVersionMax="47" xr10:uidLastSave="{00000000-0000-0000-0000-000000000000}"/>
  <bookViews>
    <workbookView xWindow="-110" yWindow="-110" windowWidth="19420" windowHeight="11500" xr2:uid="{7D14C587-8415-4529-AEA5-7167A7232A52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1" l="1"/>
  <c r="C24" i="1"/>
  <c r="A24" i="1"/>
  <c r="A21" i="1"/>
  <c r="A20" i="1"/>
  <c r="A19" i="1"/>
  <c r="A18" i="1"/>
  <c r="A17" i="1"/>
  <c r="A16" i="1"/>
  <c r="A15" i="1"/>
  <c r="A14" i="1"/>
  <c r="A1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A12" i="1"/>
  <c r="A11" i="1"/>
  <c r="A10" i="1"/>
  <c r="A8" i="1"/>
  <c r="A9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<sst xmlns="http://schemas.openxmlformats.org/spreadsheetml/2006/main" count="2" uniqueCount="2">
  <si>
    <t>Hybrid</t>
  </si>
  <si>
    <t>Classic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</si>
</sst>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7C28B-CF4F-4801-8B76-CD45390431A9}">
  <dimension ref="A1:C24"/>
  <sheetViews>
    <sheetView tabSelected="1" topLeftCell="A4" zoomScale="98" workbookViewId="0">
      <selection activeCell="F17" sqref="F17"/>
    </sheetView>
  </sheetViews>
  <sheetFormatPr defaultRowHeight="14.5" x14ac:dyDescent="0.35"/>
  <cols>
    <col min="1" max="1" width="19.7265625" customWidth="1"/>
    <col min="2" max="2" width="16.36328125" customWidth="1"/>
    <col min="3" max="3" width="13.7265625" customWidth="1"/>
    <col min="5" max="5" width="39.1796875" customWidth="1"/>
  </cols>
  <sheetData>
    <row r="1" spans="1:3" x14ac:dyDescent="0.35">
      <c r="A1" t="s">
        <v>1</v>
      </c>
      <c r="C1" t="s">
        <v>0</v>
      </c>
    </row>
    <row r="3" spans="1:3" x14ac:dyDescent="0.35">
      <c r="A3">
        <f>0.02+0.009</f>
        <v>2.8999999999999998E-2</v>
      </c>
      <c r="C3">
        <f>0.011+0.007</f>
        <v>1.7999999999999999E-2</v>
      </c>
    </row>
    <row r="4" spans="1:3" x14ac:dyDescent="0.35">
      <c r="A4">
        <f>0.011+0.006</f>
        <v>1.7000000000000001E-2</v>
      </c>
      <c r="C4">
        <f>0.038+0.012</f>
        <v>0.05</v>
      </c>
    </row>
    <row r="5" spans="1:3" x14ac:dyDescent="0.35">
      <c r="A5">
        <f>0.018+0.01</f>
        <v>2.7999999999999997E-2</v>
      </c>
      <c r="C5">
        <f>0.013+0.007</f>
        <v>0.02</v>
      </c>
    </row>
    <row r="6" spans="1:3" x14ac:dyDescent="0.35">
      <c r="A6">
        <f>0.012+0.013</f>
        <v>2.5000000000000001E-2</v>
      </c>
      <c r="C6">
        <f>0.01+0.006</f>
        <v>1.6E-2</v>
      </c>
    </row>
    <row r="7" spans="1:3" x14ac:dyDescent="0.35">
      <c r="A7">
        <f>0.012+0.007</f>
        <v>1.9E-2</v>
      </c>
      <c r="C7">
        <f>0.012+0.007</f>
        <v>1.9E-2</v>
      </c>
    </row>
    <row r="8" spans="1:3" x14ac:dyDescent="0.35">
      <c r="A8">
        <f>0.013+0.007</f>
        <v>0.02</v>
      </c>
      <c r="C8">
        <f>0.017+0.008</f>
        <v>2.5000000000000001E-2</v>
      </c>
    </row>
    <row r="9" spans="1:3" x14ac:dyDescent="0.35">
      <c r="A9">
        <f>0.015+0.008</f>
        <v>2.3E-2</v>
      </c>
      <c r="C9">
        <f>0.015+0.009</f>
        <v>2.4E-2</v>
      </c>
    </row>
    <row r="10" spans="1:3" x14ac:dyDescent="0.35">
      <c r="A10">
        <f>0.021+0.011</f>
        <v>3.2000000000000001E-2</v>
      </c>
      <c r="C10">
        <f>0.012+0.007</f>
        <v>1.9E-2</v>
      </c>
    </row>
    <row r="11" spans="1:3" x14ac:dyDescent="0.35">
      <c r="A11">
        <f>0.011+0.006</f>
        <v>1.7000000000000001E-2</v>
      </c>
      <c r="C11">
        <f>0.01+0.005</f>
        <v>1.4999999999999999E-2</v>
      </c>
    </row>
    <row r="12" spans="1:3" x14ac:dyDescent="0.35">
      <c r="A12">
        <f>0.016+0.009</f>
        <v>2.5000000000000001E-2</v>
      </c>
      <c r="C12">
        <f>0.472+0.019</f>
        <v>0.49099999999999999</v>
      </c>
    </row>
    <row r="13" spans="1:3" x14ac:dyDescent="0.35">
      <c r="A13">
        <f>0.018+0.01</f>
        <v>2.7999999999999997E-2</v>
      </c>
      <c r="C13">
        <f>0.015+0.01</f>
        <v>2.5000000000000001E-2</v>
      </c>
    </row>
    <row r="14" spans="1:3" x14ac:dyDescent="0.35">
      <c r="A14">
        <f>0.142+0.01</f>
        <v>0.152</v>
      </c>
      <c r="C14">
        <f>0.018+0.008</f>
        <v>2.5999999999999999E-2</v>
      </c>
    </row>
    <row r="15" spans="1:3" x14ac:dyDescent="0.35">
      <c r="A15">
        <f>0.016+0.007</f>
        <v>2.3E-2</v>
      </c>
      <c r="C15">
        <f>0.018+0.009</f>
        <v>2.6999999999999996E-2</v>
      </c>
    </row>
    <row r="16" spans="1:3" x14ac:dyDescent="0.35">
      <c r="A16">
        <f>0.014+0.022</f>
        <v>3.5999999999999997E-2</v>
      </c>
      <c r="C16">
        <f>0.018+0.009</f>
        <v>2.6999999999999996E-2</v>
      </c>
    </row>
    <row r="17" spans="1:3" x14ac:dyDescent="0.35">
      <c r="A17">
        <f>0.014+0.007</f>
        <v>2.1000000000000001E-2</v>
      </c>
      <c r="C17">
        <f>0.024+0.01</f>
        <v>3.4000000000000002E-2</v>
      </c>
    </row>
    <row r="18" spans="1:3" x14ac:dyDescent="0.35">
      <c r="A18">
        <f>0.016+0.008</f>
        <v>2.4E-2</v>
      </c>
      <c r="C18">
        <f>0.019+0.009</f>
        <v>2.7999999999999997E-2</v>
      </c>
    </row>
    <row r="19" spans="1:3" x14ac:dyDescent="0.35">
      <c r="A19">
        <f>0.022+0.012</f>
        <v>3.4000000000000002E-2</v>
      </c>
      <c r="C19">
        <f>0.01+0.006</f>
        <v>1.6E-2</v>
      </c>
    </row>
    <row r="20" spans="1:3" x14ac:dyDescent="0.35">
      <c r="A20">
        <f>0.015+0.009</f>
        <v>2.4E-2</v>
      </c>
      <c r="C20">
        <f>0.016+0.008</f>
        <v>2.4E-2</v>
      </c>
    </row>
    <row r="21" spans="1:3" x14ac:dyDescent="0.35">
      <c r="A21">
        <f>0.013+0.007</f>
        <v>0.02</v>
      </c>
      <c r="C21">
        <f>0.019+0.01</f>
        <v>2.8999999999999998E-2</v>
      </c>
    </row>
    <row r="22" spans="1:3" x14ac:dyDescent="0.35">
      <c r="A22">
        <f>0.011+0.007</f>
        <v>1.7999999999999999E-2</v>
      </c>
      <c r="C22">
        <f>0.013+0.007</f>
        <v>0.02</v>
      </c>
    </row>
    <row r="24" spans="1:3" x14ac:dyDescent="0.35">
      <c r="A24">
        <f>MEDIAN(A3:A22)</f>
        <v>2.4E-2</v>
      </c>
      <c r="C24">
        <f>MEDIAN(C3:C22)</f>
        <v>2.4500000000000001E-2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A Harborg</dc:creator>
  <cp:lastModifiedBy>Christian A Harborg</cp:lastModifiedBy>
  <dcterms:created xsi:type="dcterms:W3CDTF">2025-10-29T10:17:50Z</dcterms:created>
  <dcterms:modified xsi:type="dcterms:W3CDTF">2025-11-08T14:39:47Z</dcterms:modified>
</cp:coreProperties>
</file>